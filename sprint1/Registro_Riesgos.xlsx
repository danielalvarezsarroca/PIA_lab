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Riesgos" sheetId="1" r:id="rId4"/>
    <sheet state="visible" name="Matriz de Riesgo" sheetId="2" r:id="rId5"/>
    <sheet state="visible" name="Plan de Mitigación" sheetId="3" r:id="rId6"/>
    <sheet state="visible" name="Valoración Cuantitativa" sheetId="4" r:id="rId7"/>
    <sheet state="visible" name="Monitorización" sheetId="5" r:id="rId8"/>
  </sheets>
  <definedNames/>
  <calcPr/>
  <extLst>
    <ext uri="GoogleSheetsCustomDataVersion2">
      <go:sheetsCustomData xmlns:go="http://customooxmlschemas.google.com/" r:id="rId9" roundtripDataChecksum="zJrzTkjedDfCVYLCM4/1nPRn5Nfo3OlSXAVEHNxENYk="/>
    </ext>
  </extLst>
</workbook>
</file>

<file path=xl/sharedStrings.xml><?xml version="1.0" encoding="utf-8"?>
<sst xmlns="http://schemas.openxmlformats.org/spreadsheetml/2006/main" count="275" uniqueCount="156">
  <si>
    <t>REGISTRO DE RIESGOS — Proyecto Agrovoltaico Dinámico</t>
  </si>
  <si>
    <t>Director del Proyecto: Daniel Álvarez | Patrocinadora: Carla González | Periodo: 24/03/2026 – 01/06/2026</t>
  </si>
  <si>
    <t>ID</t>
  </si>
  <si>
    <t>Categoría</t>
  </si>
  <si>
    <t>Descripción del Riesgo</t>
  </si>
  <si>
    <t>WPs Afectados</t>
  </si>
  <si>
    <t>Efecto
Tiempo</t>
  </si>
  <si>
    <t>Efecto
Coste</t>
  </si>
  <si>
    <t>Efecto
Alcance</t>
  </si>
  <si>
    <t>Efecto
Calidad</t>
  </si>
  <si>
    <t>Prob.
(1-5)</t>
  </si>
  <si>
    <t>Impacto
(1-5)</t>
  </si>
  <si>
    <t>Nivel Riesgo
(P×I)</t>
  </si>
  <si>
    <t>Prioridad</t>
  </si>
  <si>
    <t>R1</t>
  </si>
  <si>
    <t>Técnico / Datos</t>
  </si>
  <si>
    <t>Calidad y continuidad de los datos: datasets con periodos extensos sin lectura (NA), inconsistencias en registros. Imputación incorrecta podría introducir sesgos o reducir muestra válida.</t>
  </si>
  <si>
    <t>WP1, WP2, WP3</t>
  </si>
  <si>
    <t>X</t>
  </si>
  <si>
    <t>Crítica</t>
  </si>
  <si>
    <t>R2</t>
  </si>
  <si>
    <t>Desalineación temporal entre sensores: sincronización incorrecta genera errores de agregación o pérdida de información en variables con alta variabilidad intradiaria.</t>
  </si>
  <si>
    <t>WP1, WP2</t>
  </si>
  <si>
    <t>Alta</t>
  </si>
  <si>
    <t>R3</t>
  </si>
  <si>
    <t>Metodológico</t>
  </si>
  <si>
    <t>No linealidad y efectos retardados no capturados: variables agrícolas (ePAR, VWC, Temp. suelo) responden de forma no lineal o con retraso a cambios en rotación.</t>
  </si>
  <si>
    <t>WP2, WP3</t>
  </si>
  <si>
    <t>R4</t>
  </si>
  <si>
    <t>Sesgo hacia optimización energética: priorizar métricas energéticas (GPOA, irradiancia) en detrimento del equilibrio microclimático del cultivo.</t>
  </si>
  <si>
    <t>WP3, WP4</t>
  </si>
  <si>
    <t>R5</t>
  </si>
  <si>
    <t>Sobreajuste al histórico disponible: modelo ajustado excesivamente al periodo analizado (6-12 meses), reduciendo capacidad de generalización.</t>
  </si>
  <si>
    <t>WP3, WP5</t>
  </si>
  <si>
    <t>Media</t>
  </si>
  <si>
    <t>R6</t>
  </si>
  <si>
    <t>Técnico / Infra.</t>
  </si>
  <si>
    <t>Interrupción del pipeline de datos o fallo en ingesta automatizada: fallo en recepción, integración o actualización continua de datos de sensores/CSV.</t>
  </si>
  <si>
    <t>WP1, WP4, WP5</t>
  </si>
  <si>
    <t>R9</t>
  </si>
  <si>
    <t>Gestión / Legal</t>
  </si>
  <si>
    <t>Vulneración de privacidad o seguridad en datos operativos: acceso no autorizado o manejo inadecuado de datos sensibles de infraestructura productiva.</t>
  </si>
  <si>
    <t>ALL</t>
  </si>
  <si>
    <t>R10</t>
  </si>
  <si>
    <t>Pérdida de información por resampleo: el uso de resolución 6h puede eliminar eventos relevantes de alta frecuencia (picos de irradiancia, cambios rápidos). Impacto: pérdida de precisión del modelo y subestimación de efectos dinámicos.</t>
  </si>
  <si>
    <t>R11</t>
  </si>
  <si>
    <t>Datos / Negocio</t>
  </si>
  <si>
    <t>Falta de contexto agronómico: no se conoce el tipo de cultivo ni parámetros agronómicos clave. Impacto: interpretaciones incorrectas y umbrales (ePAR) poco precisos.</t>
  </si>
  <si>
    <t>MATRIZ DE EVALUACIÓN DE RIESGOS (Probabilidad × Impacto)</t>
  </si>
  <si>
    <t>IMPACTO →</t>
  </si>
  <si>
    <t>PROB. ↓</t>
  </si>
  <si>
    <t>1 - Muy Bajo</t>
  </si>
  <si>
    <t>2 - Bajo</t>
  </si>
  <si>
    <t>3 - Moderado</t>
  </si>
  <si>
    <t>4 - Alto</t>
  </si>
  <si>
    <t>5 - Muy Alto</t>
  </si>
  <si>
    <t>5 - Muy Alta</t>
  </si>
  <si>
    <t>4 - Alta</t>
  </si>
  <si>
    <t>16
(R1)</t>
  </si>
  <si>
    <t>3 - Media</t>
  </si>
  <si>
    <t>9
(R5, R13)</t>
  </si>
  <si>
    <t>12
(R2, R3, R4, R6, R12)</t>
  </si>
  <si>
    <t>2 - Baja</t>
  </si>
  <si>
    <t>8
(R9)</t>
  </si>
  <si>
    <t>1 - Muy Baja</t>
  </si>
  <si>
    <t>LEYENDA DE PRIORIDAD</t>
  </si>
  <si>
    <t>Crítica (16-25)</t>
  </si>
  <si>
    <t>Alta (12-15)</t>
  </si>
  <si>
    <t>Media (8-11)</t>
  </si>
  <si>
    <t>Baja (4-7)</t>
  </si>
  <si>
    <t>Muy Baja (1-3)</t>
  </si>
  <si>
    <t>PLAN DE MITIGACIÓN Y ACTIVADORES — Proyecto Agrovoltaico Dinámico</t>
  </si>
  <si>
    <t>Riesgo</t>
  </si>
  <si>
    <t>Estrategia</t>
  </si>
  <si>
    <t>Plan de Mitigación</t>
  </si>
  <si>
    <t>Responsable</t>
  </si>
  <si>
    <t>Activador del Riesgo</t>
  </si>
  <si>
    <t>Estado</t>
  </si>
  <si>
    <t>Calidad y continuidad de datos</t>
  </si>
  <si>
    <t>Mitigar</t>
  </si>
  <si>
    <t>Técnicas de imputación documentadas (interpolación temporal, forward/backward fill). Análisis de sensibilidad comparando resultados con y sin imputación. Solicitar datos adicionales si insuficientes.</t>
  </si>
  <si>
    <t>Lead Data Scientist</t>
  </si>
  <si>
    <t>Proporción de NA &gt; 30% en variables clave.</t>
  </si>
  <si>
    <t>Activo</t>
  </si>
  <si>
    <t>Desalineación temporal sensores</t>
  </si>
  <si>
    <t>Homogeneización de series temporales a resolución común. Correlación cruzada (lag analysis). Validación visual de sincronización de variables clave.</t>
  </si>
  <si>
    <t>Inconsistencias en timestamps entre datasets. Desfases significativos en análisis preliminares.</t>
  </si>
  <si>
    <t>No linealidad y efectos retardados</t>
  </si>
  <si>
    <t>Análisis de relaciones no lineales con visualizaciones exploratorias. Estudio de correlaciones con desfase temporal. Incorporación de criterios agronómicos en validación.</t>
  </si>
  <si>
    <t>Data Scientist + Agronomía</t>
  </si>
  <si>
    <t>Correlaciones débiles sin lag. Comportamientos no monotónicos en variables agrícolas.</t>
  </si>
  <si>
    <t>Sesgo optimización energética</t>
  </si>
  <si>
    <t>Definición de índice combinado Energía-Cultivo. Inclusión explícita de variables agrícolas en modelo. Validación conceptual con especialista agronomía.</t>
  </si>
  <si>
    <t>PM + Agronomía</t>
  </si>
  <si>
    <t>Reglas operativas que aumentan producción energética reduciendo ePAR o VWC.</t>
  </si>
  <si>
    <t>Sobreajuste al histórico</t>
  </si>
  <si>
    <t>Evaluación de estabilidad de patrones en distintos periodos. Reglas operativas conservadoras. Validación conceptual antes de despliegue.</t>
  </si>
  <si>
    <t>Data Scientist + Energía</t>
  </si>
  <si>
    <t>Alta sensibilidad de reglas ante pequeñas variaciones en datos.</t>
  </si>
  <si>
    <t>Interrupción pipeline datos</t>
  </si>
  <si>
    <t>Pipeline robusto con validaciones automáticas de integridad. Registros de errores y monitorización continua. Alertas automáticas ante fallos. Mecanismos de recuperación automática.</t>
  </si>
  <si>
    <t>Lead Data Scientist + BI Dev</t>
  </si>
  <si>
    <t>Ausencia de lecturas en intervalos prolongados. Errores recurrentes en carga. Desincronización entre datasets.</t>
  </si>
  <si>
    <t>Vulneración privacidad/seguridad</t>
  </si>
  <si>
    <t>Cifrado TLS en tránsito y en reposo. Control de acceso RBAC. Cumplimiento RGPD. Firma de NDA por todos los miembros del equipo.</t>
  </si>
  <si>
    <t>PM + BI Developer</t>
  </si>
  <si>
    <t>Accesos no autorizados en logs. Intentos fallidos repetidos de autenticación. Datos sensibles no protegidos.</t>
  </si>
  <si>
    <t>R12</t>
  </si>
  <si>
    <t>Pérdida de información por resampleo</t>
  </si>
  <si>
    <t>Evaluar resoluciones alternativas (1h, 3h) y comparar resultados clave. Documentar criterio de selección de resolución. Analizar eventos de alta frecuencia por separado si son críticos.</t>
  </si>
  <si>
    <t>Pérdida de picos de irradiancia significativos al agregar a 6h. Diferencias notables entre resoluciones en métricas del modelo.</t>
  </si>
  <si>
    <t>R13</t>
  </si>
  <si>
    <t>Falta de contexto agronómico</t>
  </si>
  <si>
    <t>Solicitar al cliente metadatos agronómicos mínimos (tipo de cultivo, variedad, estadio fenológico). Usar referencias bibliográficas genéricas con caveat explícito hasta recibir información real.</t>
  </si>
  <si>
    <t>Análisis de ePAR con umbrales que no corresponden al cultivo real. Ausencia de respuesta del cliente a solicitud de metadatos.</t>
  </si>
  <si>
    <t>VALORACIÓN CUANTITATIVA DE RIESGOS (Impacto en Tiempo y Coste)</t>
  </si>
  <si>
    <t>Prob.
(decimal)</t>
  </si>
  <si>
    <t>Impacto
Tiempo (días)</t>
  </si>
  <si>
    <t>Impacto
Coste (€)</t>
  </si>
  <si>
    <t>Valor Esperado
Tiempo (días)</t>
  </si>
  <si>
    <t>Valor Esperado
Coste (€)</t>
  </si>
  <si>
    <t>Calidad y continuidad datos</t>
  </si>
  <si>
    <t>Desalineación temporal</t>
  </si>
  <si>
    <t>No linealidad / efectos retardados</t>
  </si>
  <si>
    <t>Interrupción pipeline</t>
  </si>
  <si>
    <t>TOTAL EXPOSICIÓN ESPERADA</t>
  </si>
  <si>
    <t>PLAN DE MONITORIZACIÓN DE RIESGOS</t>
  </si>
  <si>
    <t>Indicador de Monitorización</t>
  </si>
  <si>
    <t>Frecuencia Revisión</t>
  </si>
  <si>
    <t>Estado Actual</t>
  </si>
  <si>
    <t>Calidad datos</t>
  </si>
  <si>
    <t>% de valores NA en variables clave por dataset</t>
  </si>
  <si>
    <t>Semanal (Fases 1-2)</t>
  </si>
  <si>
    <t>Pendiente</t>
  </si>
  <si>
    <t>Análisis de timestamps y desfases entre sensores</t>
  </si>
  <si>
    <t>Semanal (Fase 1)</t>
  </si>
  <si>
    <t>No linealidad</t>
  </si>
  <si>
    <t>Correlaciones directas vs. con lag en EDA</t>
  </si>
  <si>
    <t>Quincenal (Fase 2)</t>
  </si>
  <si>
    <t>Sesgo energético</t>
  </si>
  <si>
    <t>Revisión de reglas: ratio ePAR/VWC post-optimización</t>
  </si>
  <si>
    <t>Quincenal (Fase 3)</t>
  </si>
  <si>
    <t>Sobreajuste</t>
  </si>
  <si>
    <t>Validación cruzada en sub-periodos del dataset</t>
  </si>
  <si>
    <t>Pipeline datos</t>
  </si>
  <si>
    <t>Uptime del pipeline y logs de errores de ingesta</t>
  </si>
  <si>
    <t>Diario (Fases 4-5)</t>
  </si>
  <si>
    <t>BI Developer</t>
  </si>
  <si>
    <t>Privacidad/seguridad</t>
  </si>
  <si>
    <t>Logs de acceso y auditoría de permisos RBAC</t>
  </si>
  <si>
    <t>Mensual</t>
  </si>
  <si>
    <t>PM</t>
  </si>
  <si>
    <t>Contexto agronómico</t>
  </si>
  <si>
    <t>Confirmación de recepción de metadatos agronómicos del cliente</t>
  </si>
  <si>
    <t>Semanal (Fase 1-2)</t>
  </si>
  <si>
    <t>Estrategia General: Revisión continua de calidad del dataset, evaluación de resultados EDA, validación de reglas con expertos, revisión de desviaciones del pipeline. El PM coordina la monitorización y activa mitigaciones.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</si>
</sst>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&quot; €&quot;"/>
  </numFmts>
  <fonts count="17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1F4E79"/>
      <name val="Arial"/>
    </font>
    <font>
      <b/>
      <sz val="10.0"/>
      <color rgb="FFFFFFFF"/>
      <name val="Arial"/>
    </font>
    <font>
      <b/>
      <sz val="9.0"/>
      <color rgb="FF404040"/>
      <name val="Arial"/>
    </font>
    <font>
      <sz val="9.0"/>
      <color rgb="FF404040"/>
      <name val="Arial"/>
    </font>
    <font>
      <b/>
      <sz val="9.0"/>
      <color rgb="FFFFFFFF"/>
      <name val="Arial"/>
    </font>
    <font>
      <b/>
      <sz val="10.0"/>
      <color rgb="FF000000"/>
      <name val="Arial"/>
    </font>
    <font>
      <b/>
      <sz val="9.0"/>
      <color rgb="FF000000"/>
      <name val="Arial"/>
    </font>
    <font>
      <b/>
      <sz val="13.0"/>
      <color rgb="FFFFFFFF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12.0"/>
      <color rgb="FF000000"/>
      <name val="Arial"/>
    </font>
    <font>
      <b/>
      <sz val="12.0"/>
      <color rgb="FFFFFFFF"/>
      <name val="Arial"/>
    </font>
    <font>
      <b/>
      <sz val="10.0"/>
      <color rgb="FF1F4E79"/>
      <name val="Arial"/>
    </font>
    <font>
      <b/>
      <sz val="9.0"/>
      <color rgb="FF2E75B6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F4444"/>
        <bgColor rgb="FFFF4444"/>
      </patternFill>
    </fill>
    <fill>
      <patternFill patternType="solid">
        <fgColor rgb="FFF2F2F2"/>
        <bgColor rgb="FFF2F2F2"/>
      </patternFill>
    </fill>
    <fill>
      <patternFill patternType="solid">
        <fgColor rgb="FFFF8C00"/>
        <bgColor rgb="FFFF8C00"/>
      </patternFill>
    </fill>
    <fill>
      <patternFill patternType="solid">
        <fgColor rgb="FFFFD700"/>
        <bgColor rgb="FFFFD700"/>
      </patternFill>
    </fill>
    <fill>
      <patternFill patternType="solid">
        <fgColor rgb="FF2E75B6"/>
        <bgColor rgb="FF2E75B6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/>
      <right style="thin">
        <color rgb="FFB0B0B0"/>
      </right>
      <top/>
      <bottom/>
    </border>
    <border>
      <right style="thin">
        <color rgb="FFB0B0B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8" fontId="8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shrinkToFit="0" vertical="center" wrapText="0"/>
    </xf>
    <xf borderId="1" fillId="9" fontId="11" numFmtId="0" xfId="0" applyAlignment="1" applyBorder="1" applyFill="1" applyFont="1">
      <alignment horizontal="center" shrinkToFit="0" vertical="center" wrapText="0"/>
    </xf>
    <xf borderId="4" fillId="9" fontId="7" numFmtId="0" xfId="0" applyAlignment="1" applyBorder="1" applyFont="1">
      <alignment horizontal="center" shrinkToFit="0" vertical="center" wrapText="1"/>
    </xf>
    <xf borderId="4" fillId="9" fontId="12" numFmtId="0" xfId="0" applyAlignment="1" applyBorder="1" applyFont="1">
      <alignment shrinkToFit="0" vertical="bottom" wrapText="0"/>
    </xf>
    <xf borderId="5" fillId="4" fontId="12" numFmtId="0" xfId="0" applyAlignment="1" applyBorder="1" applyFont="1">
      <alignment shrinkToFit="0" vertical="bottom" wrapText="0"/>
    </xf>
    <xf borderId="4" fillId="10" fontId="13" numFmtId="0" xfId="0" applyAlignment="1" applyBorder="1" applyFill="1" applyFont="1">
      <alignment horizontal="center" shrinkToFit="0" vertical="center" wrapText="1"/>
    </xf>
    <xf borderId="4" fillId="8" fontId="13" numFmtId="0" xfId="0" applyAlignment="1" applyBorder="1" applyFont="1">
      <alignment horizontal="center" shrinkToFit="0" vertical="center" wrapText="1"/>
    </xf>
    <xf borderId="4" fillId="7" fontId="14" numFmtId="0" xfId="0" applyAlignment="1" applyBorder="1" applyFont="1">
      <alignment horizontal="center" shrinkToFit="0" vertical="center" wrapText="1"/>
    </xf>
    <xf borderId="4" fillId="5" fontId="14" numFmtId="0" xfId="0" applyAlignment="1" applyBorder="1" applyFont="1">
      <alignment horizontal="center" shrinkToFit="0" vertical="center" wrapText="1"/>
    </xf>
    <xf borderId="4" fillId="11" fontId="14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shrinkToFit="0" vertical="bottom" wrapText="0"/>
    </xf>
    <xf borderId="4" fillId="5" fontId="12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center" wrapText="0"/>
    </xf>
    <xf borderId="4" fillId="7" fontId="12" numFmtId="0" xfId="0" applyAlignment="1" applyBorder="1" applyFont="1">
      <alignment shrinkToFit="0" vertical="bottom" wrapText="0"/>
    </xf>
    <xf borderId="4" fillId="8" fontId="12" numFmtId="0" xfId="0" applyAlignment="1" applyBorder="1" applyFont="1">
      <alignment shrinkToFit="0" vertical="bottom" wrapText="0"/>
    </xf>
    <xf borderId="4" fillId="10" fontId="12" numFmtId="0" xfId="0" applyAlignment="1" applyBorder="1" applyFont="1">
      <alignment shrinkToFit="0" vertical="bottom" wrapText="0"/>
    </xf>
    <xf borderId="4" fillId="11" fontId="12" numFmtId="0" xfId="0" applyAlignment="1" applyBorder="1" applyFont="1">
      <alignment shrinkToFit="0" vertical="bottom" wrapText="0"/>
    </xf>
    <xf borderId="4" fillId="3" fontId="16" numFmtId="0" xfId="0" applyAlignment="1" applyBorder="1" applyFont="1">
      <alignment horizontal="center" shrinkToFit="0" vertical="center" wrapText="1"/>
    </xf>
    <xf borderId="4" fillId="4" fontId="6" numFmtId="164" xfId="0" applyAlignment="1" applyBorder="1" applyFont="1" applyNumberFormat="1">
      <alignment horizontal="center" shrinkToFit="0" vertical="center" wrapText="1"/>
    </xf>
    <xf borderId="4" fillId="4" fontId="6" numFmtId="164" xfId="0" applyAlignment="1" applyBorder="1" applyFont="1" applyNumberFormat="1">
      <alignment horizontal="left" shrinkToFit="0" vertical="center" wrapText="1"/>
    </xf>
    <xf borderId="4" fillId="4" fontId="6" numFmtId="165" xfId="0" applyAlignment="1" applyBorder="1" applyFont="1" applyNumberFormat="1">
      <alignment horizontal="left" shrinkToFit="0" vertical="center" wrapText="1"/>
    </xf>
    <xf borderId="4" fillId="4" fontId="5" numFmtId="164" xfId="0" applyAlignment="1" applyBorder="1" applyFont="1" applyNumberFormat="1">
      <alignment horizontal="center" shrinkToFit="0" vertical="center" wrapText="1"/>
    </xf>
    <xf borderId="4" fillId="4" fontId="5" numFmtId="165" xfId="0" applyAlignment="1" applyBorder="1" applyFont="1" applyNumberFormat="1">
      <alignment horizontal="center" shrinkToFit="0" vertical="center" wrapText="1"/>
    </xf>
    <xf borderId="4" fillId="6" fontId="6" numFmtId="164" xfId="0" applyAlignment="1" applyBorder="1" applyFont="1" applyNumberFormat="1">
      <alignment horizontal="center" shrinkToFit="0" vertical="center" wrapText="1"/>
    </xf>
    <xf borderId="4" fillId="6" fontId="6" numFmtId="164" xfId="0" applyAlignment="1" applyBorder="1" applyFont="1" applyNumberFormat="1">
      <alignment horizontal="left" shrinkToFit="0" vertical="center" wrapText="1"/>
    </xf>
    <xf borderId="4" fillId="6" fontId="6" numFmtId="165" xfId="0" applyAlignment="1" applyBorder="1" applyFont="1" applyNumberFormat="1">
      <alignment horizontal="left" shrinkToFit="0" vertical="center" wrapText="1"/>
    </xf>
    <xf borderId="4" fillId="6" fontId="5" numFmtId="164" xfId="0" applyAlignment="1" applyBorder="1" applyFont="1" applyNumberFormat="1">
      <alignment horizontal="center" shrinkToFit="0" vertical="center" wrapText="1"/>
    </xf>
    <xf borderId="4" fillId="6" fontId="5" numFmtId="165" xfId="0" applyAlignment="1" applyBorder="1" applyFont="1" applyNumberFormat="1">
      <alignment horizontal="center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ont="1">
      <alignment horizontal="right" shrinkToFit="0" vertical="center" wrapText="0"/>
    </xf>
    <xf borderId="10" fillId="0" fontId="12" numFmtId="0" xfId="0" applyAlignment="1" applyBorder="1" applyFont="1">
      <alignment shrinkToFit="0" vertical="bottom" wrapText="0"/>
    </xf>
    <xf borderId="4" fillId="2" fontId="4" numFmtId="164" xfId="0" applyAlignment="1" applyBorder="1" applyFont="1" applyNumberFormat="1">
      <alignment horizontal="center" shrinkToFit="0" vertical="center" wrapText="1"/>
    </xf>
    <xf borderId="4" fillId="2" fontId="4" numFmtId="165" xfId="0" applyAlignment="1" applyBorder="1" applyFont="1" applyNumberFormat="1">
      <alignment horizontal="center" shrinkToFit="0" vertical="center" wrapText="1"/>
    </xf>
    <xf borderId="4" fillId="2" fontId="1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7.57"/>
    <col customWidth="1" min="3" max="3" width="45.0"/>
    <col customWidth="1" min="4" max="4" width="14.0"/>
    <col customWidth="1" min="5" max="10" width="9.0"/>
    <col customWidth="1" min="11" max="12" width="12.0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9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ht="60.0" customHeight="1">
      <c r="A4" s="6" t="s">
        <v>14</v>
      </c>
      <c r="B4" s="7" t="s">
        <v>15</v>
      </c>
      <c r="C4" s="8" t="s">
        <v>16</v>
      </c>
      <c r="D4" s="7" t="s">
        <v>17</v>
      </c>
      <c r="E4" s="7" t="s">
        <v>18</v>
      </c>
      <c r="F4" s="7" t="s">
        <v>18</v>
      </c>
      <c r="G4" s="7" t="s">
        <v>18</v>
      </c>
      <c r="H4" s="7" t="s">
        <v>18</v>
      </c>
      <c r="I4" s="7">
        <v>4.0</v>
      </c>
      <c r="J4" s="7">
        <v>4.0</v>
      </c>
      <c r="K4" s="9">
        <f t="shared" ref="K4:K12" si="1">I4*J4</f>
        <v>16</v>
      </c>
      <c r="L4" s="10" t="s">
        <v>19</v>
      </c>
    </row>
    <row r="5" ht="60.0" customHeight="1">
      <c r="A5" s="11" t="s">
        <v>20</v>
      </c>
      <c r="B5" s="12" t="s">
        <v>15</v>
      </c>
      <c r="C5" s="13" t="s">
        <v>21</v>
      </c>
      <c r="D5" s="12" t="s">
        <v>22</v>
      </c>
      <c r="E5" s="12" t="s">
        <v>18</v>
      </c>
      <c r="F5" s="12"/>
      <c r="G5" s="12" t="s">
        <v>18</v>
      </c>
      <c r="H5" s="12" t="s">
        <v>18</v>
      </c>
      <c r="I5" s="12">
        <v>3.0</v>
      </c>
      <c r="J5" s="12">
        <v>4.0</v>
      </c>
      <c r="K5" s="14">
        <f t="shared" si="1"/>
        <v>12</v>
      </c>
      <c r="L5" s="15" t="s">
        <v>23</v>
      </c>
    </row>
    <row r="6" ht="60.0" customHeight="1">
      <c r="A6" s="6" t="s">
        <v>24</v>
      </c>
      <c r="B6" s="7" t="s">
        <v>25</v>
      </c>
      <c r="C6" s="8" t="s">
        <v>26</v>
      </c>
      <c r="D6" s="7" t="s">
        <v>27</v>
      </c>
      <c r="E6" s="7" t="s">
        <v>18</v>
      </c>
      <c r="F6" s="7"/>
      <c r="G6" s="7" t="s">
        <v>18</v>
      </c>
      <c r="H6" s="7" t="s">
        <v>18</v>
      </c>
      <c r="I6" s="7">
        <v>3.0</v>
      </c>
      <c r="J6" s="7">
        <v>4.0</v>
      </c>
      <c r="K6" s="14">
        <f t="shared" si="1"/>
        <v>12</v>
      </c>
      <c r="L6" s="15" t="s">
        <v>23</v>
      </c>
    </row>
    <row r="7" ht="60.0" customHeight="1">
      <c r="A7" s="11" t="s">
        <v>28</v>
      </c>
      <c r="B7" s="12" t="s">
        <v>25</v>
      </c>
      <c r="C7" s="13" t="s">
        <v>29</v>
      </c>
      <c r="D7" s="12" t="s">
        <v>30</v>
      </c>
      <c r="E7" s="12"/>
      <c r="F7" s="12"/>
      <c r="G7" s="12" t="s">
        <v>18</v>
      </c>
      <c r="H7" s="12" t="s">
        <v>18</v>
      </c>
      <c r="I7" s="12">
        <v>3.0</v>
      </c>
      <c r="J7" s="12">
        <v>4.0</v>
      </c>
      <c r="K7" s="14">
        <f t="shared" si="1"/>
        <v>12</v>
      </c>
      <c r="L7" s="15" t="s">
        <v>23</v>
      </c>
    </row>
    <row r="8" ht="60.0" customHeight="1">
      <c r="A8" s="6" t="s">
        <v>31</v>
      </c>
      <c r="B8" s="7" t="s">
        <v>25</v>
      </c>
      <c r="C8" s="8" t="s">
        <v>32</v>
      </c>
      <c r="D8" s="7" t="s">
        <v>33</v>
      </c>
      <c r="E8" s="7" t="s">
        <v>18</v>
      </c>
      <c r="F8" s="7" t="s">
        <v>18</v>
      </c>
      <c r="G8" s="7" t="s">
        <v>18</v>
      </c>
      <c r="H8" s="7" t="s">
        <v>18</v>
      </c>
      <c r="I8" s="7">
        <v>3.0</v>
      </c>
      <c r="J8" s="7">
        <v>3.0</v>
      </c>
      <c r="K8" s="16">
        <f t="shared" si="1"/>
        <v>9</v>
      </c>
      <c r="L8" s="17" t="s">
        <v>34</v>
      </c>
    </row>
    <row r="9" ht="60.0" customHeight="1">
      <c r="A9" s="11" t="s">
        <v>35</v>
      </c>
      <c r="B9" s="12" t="s">
        <v>36</v>
      </c>
      <c r="C9" s="13" t="s">
        <v>37</v>
      </c>
      <c r="D9" s="12" t="s">
        <v>38</v>
      </c>
      <c r="E9" s="12" t="s">
        <v>18</v>
      </c>
      <c r="F9" s="12" t="s">
        <v>18</v>
      </c>
      <c r="G9" s="12" t="s">
        <v>18</v>
      </c>
      <c r="H9" s="12" t="s">
        <v>18</v>
      </c>
      <c r="I9" s="12">
        <v>3.0</v>
      </c>
      <c r="J9" s="12">
        <v>4.0</v>
      </c>
      <c r="K9" s="14">
        <f t="shared" si="1"/>
        <v>12</v>
      </c>
      <c r="L9" s="15" t="s">
        <v>23</v>
      </c>
    </row>
    <row r="10" ht="60.0" customHeight="1">
      <c r="A10" s="6" t="s">
        <v>39</v>
      </c>
      <c r="B10" s="7" t="s">
        <v>40</v>
      </c>
      <c r="C10" s="8" t="s">
        <v>41</v>
      </c>
      <c r="D10" s="7" t="s">
        <v>42</v>
      </c>
      <c r="E10" s="7" t="s">
        <v>18</v>
      </c>
      <c r="F10" s="7" t="s">
        <v>18</v>
      </c>
      <c r="G10" s="7" t="s">
        <v>18</v>
      </c>
      <c r="H10" s="7" t="s">
        <v>18</v>
      </c>
      <c r="I10" s="7">
        <v>2.0</v>
      </c>
      <c r="J10" s="7">
        <v>4.0</v>
      </c>
      <c r="K10" s="16">
        <f t="shared" si="1"/>
        <v>8</v>
      </c>
      <c r="L10" s="17" t="s">
        <v>34</v>
      </c>
    </row>
    <row r="11">
      <c r="A11" s="18" t="s">
        <v>43</v>
      </c>
      <c r="B11" s="7" t="s">
        <v>25</v>
      </c>
      <c r="C11" s="8" t="s">
        <v>44</v>
      </c>
      <c r="D11" s="7" t="s">
        <v>22</v>
      </c>
      <c r="E11" s="7" t="s">
        <v>18</v>
      </c>
      <c r="F11" s="7"/>
      <c r="G11" s="7" t="s">
        <v>18</v>
      </c>
      <c r="H11" s="7" t="s">
        <v>18</v>
      </c>
      <c r="I11" s="7">
        <v>3.0</v>
      </c>
      <c r="J11" s="7">
        <v>4.0</v>
      </c>
      <c r="K11" s="16">
        <f t="shared" si="1"/>
        <v>12</v>
      </c>
      <c r="L11" s="17" t="s">
        <v>23</v>
      </c>
    </row>
    <row r="12">
      <c r="A12" s="18" t="s">
        <v>45</v>
      </c>
      <c r="B12" s="7" t="s">
        <v>46</v>
      </c>
      <c r="C12" s="8" t="s">
        <v>47</v>
      </c>
      <c r="D12" s="7" t="s">
        <v>27</v>
      </c>
      <c r="E12" s="7"/>
      <c r="F12" s="7"/>
      <c r="G12" s="7" t="s">
        <v>18</v>
      </c>
      <c r="H12" s="7" t="s">
        <v>18</v>
      </c>
      <c r="I12" s="7">
        <v>3.0</v>
      </c>
      <c r="J12" s="7">
        <v>3.0</v>
      </c>
      <c r="K12" s="16">
        <f t="shared" si="1"/>
        <v>9</v>
      </c>
      <c r="L12" s="17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7" width="16.0"/>
  </cols>
  <sheetData>
    <row r="1" ht="34.5" customHeight="1">
      <c r="A1" s="19" t="s">
        <v>48</v>
      </c>
      <c r="B1" s="2"/>
      <c r="C1" s="2"/>
      <c r="D1" s="2"/>
      <c r="E1" s="2"/>
      <c r="F1" s="2"/>
      <c r="G1" s="3"/>
    </row>
    <row r="2">
      <c r="C2" s="20" t="s">
        <v>49</v>
      </c>
      <c r="D2" s="2"/>
      <c r="E2" s="2"/>
      <c r="F2" s="2"/>
      <c r="G2" s="3"/>
    </row>
    <row r="3">
      <c r="A3" s="21" t="s">
        <v>50</v>
      </c>
      <c r="B3" s="22"/>
      <c r="C3" s="21" t="s">
        <v>51</v>
      </c>
      <c r="D3" s="21" t="s">
        <v>52</v>
      </c>
      <c r="E3" s="21" t="s">
        <v>53</v>
      </c>
      <c r="F3" s="21" t="s">
        <v>54</v>
      </c>
      <c r="G3" s="21" t="s">
        <v>55</v>
      </c>
    </row>
    <row r="4" ht="34.5" customHeight="1">
      <c r="A4" s="23"/>
      <c r="B4" s="21" t="s">
        <v>56</v>
      </c>
      <c r="C4" s="24">
        <v>5.0</v>
      </c>
      <c r="D4" s="25">
        <v>10.0</v>
      </c>
      <c r="E4" s="26">
        <v>15.0</v>
      </c>
      <c r="F4" s="27">
        <v>20.0</v>
      </c>
      <c r="G4" s="27">
        <v>25.0</v>
      </c>
    </row>
    <row r="5" ht="34.5" customHeight="1">
      <c r="A5" s="23"/>
      <c r="B5" s="21" t="s">
        <v>57</v>
      </c>
      <c r="C5" s="24">
        <v>4.0</v>
      </c>
      <c r="D5" s="25">
        <v>8.0</v>
      </c>
      <c r="E5" s="26">
        <v>12.0</v>
      </c>
      <c r="F5" s="9" t="s">
        <v>58</v>
      </c>
      <c r="G5" s="27">
        <v>20.0</v>
      </c>
    </row>
    <row r="6" ht="34.5" customHeight="1">
      <c r="A6" s="23"/>
      <c r="B6" s="21" t="s">
        <v>59</v>
      </c>
      <c r="C6" s="28">
        <v>3.0</v>
      </c>
      <c r="D6" s="24">
        <v>6.0</v>
      </c>
      <c r="E6" s="16" t="s">
        <v>60</v>
      </c>
      <c r="F6" s="14" t="s">
        <v>61</v>
      </c>
      <c r="G6" s="26">
        <v>15.0</v>
      </c>
    </row>
    <row r="7" ht="34.5" customHeight="1">
      <c r="A7" s="23"/>
      <c r="B7" s="21" t="s">
        <v>62</v>
      </c>
      <c r="C7" s="28">
        <v>2.0</v>
      </c>
      <c r="D7" s="24">
        <v>4.0</v>
      </c>
      <c r="E7" s="24">
        <v>6.0</v>
      </c>
      <c r="F7" s="16" t="s">
        <v>63</v>
      </c>
      <c r="G7" s="25">
        <v>10.0</v>
      </c>
    </row>
    <row r="8" ht="34.5" customHeight="1">
      <c r="A8" s="23"/>
      <c r="B8" s="21" t="s">
        <v>64</v>
      </c>
      <c r="C8" s="28">
        <v>1.0</v>
      </c>
      <c r="D8" s="28">
        <v>2.0</v>
      </c>
      <c r="E8" s="28">
        <v>3.0</v>
      </c>
      <c r="F8" s="24">
        <v>4.0</v>
      </c>
      <c r="G8" s="24">
        <v>5.0</v>
      </c>
    </row>
    <row r="10" ht="24.75" customHeight="1">
      <c r="B10" s="29" t="s">
        <v>65</v>
      </c>
    </row>
    <row r="11" ht="21.75" customHeight="1">
      <c r="B11" s="30"/>
      <c r="C11" s="31" t="s">
        <v>66</v>
      </c>
    </row>
    <row r="12" ht="21.75" customHeight="1">
      <c r="B12" s="32"/>
      <c r="C12" s="31" t="s">
        <v>67</v>
      </c>
    </row>
    <row r="13" ht="21.75" customHeight="1">
      <c r="B13" s="33"/>
      <c r="C13" s="31" t="s">
        <v>68</v>
      </c>
    </row>
    <row r="14" ht="21.75" customHeight="1">
      <c r="B14" s="34"/>
      <c r="C14" s="31" t="s">
        <v>69</v>
      </c>
    </row>
    <row r="15" ht="21.75" customHeight="1">
      <c r="B15" s="35"/>
      <c r="C15" s="31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C2:G2"/>
    <mergeCell ref="B10:G1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0.0"/>
    <col customWidth="1" min="3" max="3" width="14.0"/>
    <col customWidth="1" min="4" max="4" width="55.0"/>
    <col customWidth="1" min="5" max="5" width="18.0"/>
    <col customWidth="1" min="6" max="6" width="40.0"/>
    <col customWidth="1" min="7" max="7" width="12.0"/>
  </cols>
  <sheetData>
    <row r="1" ht="34.5" customHeight="1">
      <c r="A1" s="19" t="s">
        <v>71</v>
      </c>
      <c r="B1" s="2"/>
      <c r="C1" s="2"/>
      <c r="D1" s="2"/>
      <c r="E1" s="2"/>
      <c r="F1" s="2"/>
      <c r="G1" s="3"/>
    </row>
    <row r="2" ht="30.0" customHeight="1">
      <c r="A2" s="5" t="s">
        <v>2</v>
      </c>
      <c r="B2" s="5" t="s">
        <v>72</v>
      </c>
      <c r="C2" s="5" t="s">
        <v>73</v>
      </c>
      <c r="D2" s="5" t="s">
        <v>74</v>
      </c>
      <c r="E2" s="5" t="s">
        <v>75</v>
      </c>
      <c r="F2" s="5" t="s">
        <v>76</v>
      </c>
      <c r="G2" s="5" t="s">
        <v>77</v>
      </c>
    </row>
    <row r="3" ht="69.75" customHeight="1">
      <c r="A3" s="7" t="s">
        <v>14</v>
      </c>
      <c r="B3" s="8" t="s">
        <v>78</v>
      </c>
      <c r="C3" s="7" t="s">
        <v>79</v>
      </c>
      <c r="D3" s="8" t="s">
        <v>80</v>
      </c>
      <c r="E3" s="7" t="s">
        <v>81</v>
      </c>
      <c r="F3" s="8" t="s">
        <v>82</v>
      </c>
      <c r="G3" s="36" t="s">
        <v>83</v>
      </c>
    </row>
    <row r="4" ht="69.75" customHeight="1">
      <c r="A4" s="12" t="s">
        <v>20</v>
      </c>
      <c r="B4" s="13" t="s">
        <v>84</v>
      </c>
      <c r="C4" s="12" t="s">
        <v>79</v>
      </c>
      <c r="D4" s="13" t="s">
        <v>85</v>
      </c>
      <c r="E4" s="12" t="s">
        <v>81</v>
      </c>
      <c r="F4" s="13" t="s">
        <v>86</v>
      </c>
      <c r="G4" s="36" t="s">
        <v>83</v>
      </c>
    </row>
    <row r="5" ht="69.75" customHeight="1">
      <c r="A5" s="7" t="s">
        <v>24</v>
      </c>
      <c r="B5" s="8" t="s">
        <v>87</v>
      </c>
      <c r="C5" s="7" t="s">
        <v>79</v>
      </c>
      <c r="D5" s="8" t="s">
        <v>88</v>
      </c>
      <c r="E5" s="7" t="s">
        <v>89</v>
      </c>
      <c r="F5" s="8" t="s">
        <v>90</v>
      </c>
      <c r="G5" s="36" t="s">
        <v>83</v>
      </c>
    </row>
    <row r="6" ht="69.75" customHeight="1">
      <c r="A6" s="12" t="s">
        <v>28</v>
      </c>
      <c r="B6" s="13" t="s">
        <v>91</v>
      </c>
      <c r="C6" s="12" t="s">
        <v>79</v>
      </c>
      <c r="D6" s="13" t="s">
        <v>92</v>
      </c>
      <c r="E6" s="12" t="s">
        <v>93</v>
      </c>
      <c r="F6" s="13" t="s">
        <v>94</v>
      </c>
      <c r="G6" s="36" t="s">
        <v>83</v>
      </c>
    </row>
    <row r="7" ht="69.75" customHeight="1">
      <c r="A7" s="7" t="s">
        <v>31</v>
      </c>
      <c r="B7" s="8" t="s">
        <v>95</v>
      </c>
      <c r="C7" s="7" t="s">
        <v>79</v>
      </c>
      <c r="D7" s="8" t="s">
        <v>96</v>
      </c>
      <c r="E7" s="7" t="s">
        <v>97</v>
      </c>
      <c r="F7" s="8" t="s">
        <v>98</v>
      </c>
      <c r="G7" s="36" t="s">
        <v>83</v>
      </c>
    </row>
    <row r="8" ht="69.75" customHeight="1">
      <c r="A8" s="12" t="s">
        <v>35</v>
      </c>
      <c r="B8" s="13" t="s">
        <v>99</v>
      </c>
      <c r="C8" s="12" t="s">
        <v>79</v>
      </c>
      <c r="D8" s="13" t="s">
        <v>100</v>
      </c>
      <c r="E8" s="12" t="s">
        <v>101</v>
      </c>
      <c r="F8" s="13" t="s">
        <v>102</v>
      </c>
      <c r="G8" s="36" t="s">
        <v>83</v>
      </c>
    </row>
    <row r="9" ht="69.75" customHeight="1">
      <c r="A9" s="7" t="s">
        <v>39</v>
      </c>
      <c r="B9" s="8" t="s">
        <v>103</v>
      </c>
      <c r="C9" s="7" t="s">
        <v>79</v>
      </c>
      <c r="D9" s="8" t="s">
        <v>104</v>
      </c>
      <c r="E9" s="7" t="s">
        <v>105</v>
      </c>
      <c r="F9" s="8" t="s">
        <v>106</v>
      </c>
      <c r="G9" s="36" t="s">
        <v>83</v>
      </c>
    </row>
    <row r="10">
      <c r="A10" s="7" t="s">
        <v>107</v>
      </c>
      <c r="B10" s="8" t="s">
        <v>108</v>
      </c>
      <c r="C10" s="7" t="s">
        <v>79</v>
      </c>
      <c r="D10" s="8" t="s">
        <v>109</v>
      </c>
      <c r="E10" s="7" t="s">
        <v>81</v>
      </c>
      <c r="F10" s="8" t="s">
        <v>110</v>
      </c>
      <c r="G10" s="36" t="s">
        <v>83</v>
      </c>
    </row>
    <row r="11">
      <c r="A11" s="7" t="s">
        <v>111</v>
      </c>
      <c r="B11" s="8" t="s">
        <v>112</v>
      </c>
      <c r="C11" s="7" t="s">
        <v>79</v>
      </c>
      <c r="D11" s="8" t="s">
        <v>113</v>
      </c>
      <c r="E11" s="7" t="s">
        <v>93</v>
      </c>
      <c r="F11" s="8" t="s">
        <v>114</v>
      </c>
      <c r="G11" s="36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0.0"/>
    <col customWidth="1" min="3" max="3" width="12.0"/>
    <col customWidth="1" min="4" max="5" width="16.0"/>
    <col customWidth="1" min="6" max="7" width="18.0"/>
    <col customWidth="1" min="8" max="8" width="12.0"/>
  </cols>
  <sheetData>
    <row r="1" ht="34.5" customHeight="1">
      <c r="A1" s="19" t="s">
        <v>115</v>
      </c>
      <c r="B1" s="2"/>
      <c r="C1" s="2"/>
      <c r="D1" s="2"/>
      <c r="E1" s="2"/>
      <c r="F1" s="2"/>
      <c r="G1" s="2"/>
      <c r="H1" s="3"/>
    </row>
    <row r="2" ht="39.75" customHeight="1">
      <c r="A2" s="5" t="s">
        <v>2</v>
      </c>
      <c r="B2" s="5" t="s">
        <v>72</v>
      </c>
      <c r="C2" s="5" t="s">
        <v>116</v>
      </c>
      <c r="D2" s="5" t="s">
        <v>117</v>
      </c>
      <c r="E2" s="5" t="s">
        <v>118</v>
      </c>
      <c r="F2" s="5" t="s">
        <v>119</v>
      </c>
      <c r="G2" s="5" t="s">
        <v>120</v>
      </c>
      <c r="H2" s="5" t="s">
        <v>13</v>
      </c>
    </row>
    <row r="3" ht="27.75" customHeight="1">
      <c r="A3" s="7" t="s">
        <v>14</v>
      </c>
      <c r="B3" s="8" t="s">
        <v>121</v>
      </c>
      <c r="C3" s="37">
        <v>0.7</v>
      </c>
      <c r="D3" s="38">
        <v>10.0</v>
      </c>
      <c r="E3" s="39">
        <v>3000.0</v>
      </c>
      <c r="F3" s="40">
        <f t="shared" ref="F3:F11" si="1">C3*D3</f>
        <v>7</v>
      </c>
      <c r="G3" s="41">
        <f t="shared" ref="G3:G11" si="2">C3*E3</f>
        <v>2100</v>
      </c>
      <c r="H3" s="10" t="s">
        <v>19</v>
      </c>
    </row>
    <row r="4" ht="27.75" customHeight="1">
      <c r="A4" s="12" t="s">
        <v>20</v>
      </c>
      <c r="B4" s="13" t="s">
        <v>122</v>
      </c>
      <c r="C4" s="42">
        <v>0.5</v>
      </c>
      <c r="D4" s="43">
        <v>5.0</v>
      </c>
      <c r="E4" s="44">
        <v>1500.0</v>
      </c>
      <c r="F4" s="45">
        <f t="shared" si="1"/>
        <v>2.5</v>
      </c>
      <c r="G4" s="46">
        <f t="shared" si="2"/>
        <v>750</v>
      </c>
      <c r="H4" s="15" t="s">
        <v>23</v>
      </c>
    </row>
    <row r="5" ht="27.75" customHeight="1">
      <c r="A5" s="7" t="s">
        <v>24</v>
      </c>
      <c r="B5" s="8" t="s">
        <v>123</v>
      </c>
      <c r="C5" s="37">
        <v>0.5</v>
      </c>
      <c r="D5" s="38">
        <v>7.0</v>
      </c>
      <c r="E5" s="39">
        <v>2000.0</v>
      </c>
      <c r="F5" s="40">
        <f t="shared" si="1"/>
        <v>3.5</v>
      </c>
      <c r="G5" s="41">
        <f t="shared" si="2"/>
        <v>1000</v>
      </c>
      <c r="H5" s="15" t="s">
        <v>23</v>
      </c>
    </row>
    <row r="6" ht="27.75" customHeight="1">
      <c r="A6" s="12" t="s">
        <v>28</v>
      </c>
      <c r="B6" s="13" t="s">
        <v>91</v>
      </c>
      <c r="C6" s="42">
        <v>0.5</v>
      </c>
      <c r="D6" s="43">
        <v>5.0</v>
      </c>
      <c r="E6" s="44">
        <v>1500.0</v>
      </c>
      <c r="F6" s="45">
        <f t="shared" si="1"/>
        <v>2.5</v>
      </c>
      <c r="G6" s="46">
        <f t="shared" si="2"/>
        <v>750</v>
      </c>
      <c r="H6" s="15" t="s">
        <v>23</v>
      </c>
    </row>
    <row r="7" ht="27.75" customHeight="1">
      <c r="A7" s="7" t="s">
        <v>31</v>
      </c>
      <c r="B7" s="8" t="s">
        <v>95</v>
      </c>
      <c r="C7" s="37">
        <v>0.5</v>
      </c>
      <c r="D7" s="38">
        <v>4.0</v>
      </c>
      <c r="E7" s="39">
        <v>1200.0</v>
      </c>
      <c r="F7" s="40">
        <f t="shared" si="1"/>
        <v>2</v>
      </c>
      <c r="G7" s="41">
        <f t="shared" si="2"/>
        <v>600</v>
      </c>
      <c r="H7" s="17" t="s">
        <v>34</v>
      </c>
    </row>
    <row r="8" ht="27.75" customHeight="1">
      <c r="A8" s="12" t="s">
        <v>35</v>
      </c>
      <c r="B8" s="13" t="s">
        <v>124</v>
      </c>
      <c r="C8" s="42">
        <v>0.5</v>
      </c>
      <c r="D8" s="43">
        <v>7.0</v>
      </c>
      <c r="E8" s="44">
        <v>2500.0</v>
      </c>
      <c r="F8" s="45">
        <f t="shared" si="1"/>
        <v>3.5</v>
      </c>
      <c r="G8" s="46">
        <f t="shared" si="2"/>
        <v>1250</v>
      </c>
      <c r="H8" s="15" t="s">
        <v>23</v>
      </c>
    </row>
    <row r="9" ht="27.75" customHeight="1">
      <c r="A9" s="7" t="s">
        <v>39</v>
      </c>
      <c r="B9" s="8" t="s">
        <v>103</v>
      </c>
      <c r="C9" s="37">
        <v>0.3</v>
      </c>
      <c r="D9" s="38">
        <v>10.0</v>
      </c>
      <c r="E9" s="39">
        <v>5000.0</v>
      </c>
      <c r="F9" s="40">
        <f t="shared" si="1"/>
        <v>3</v>
      </c>
      <c r="G9" s="41">
        <f t="shared" si="2"/>
        <v>1500</v>
      </c>
      <c r="H9" s="17" t="s">
        <v>34</v>
      </c>
    </row>
    <row r="10" ht="15.0" customHeight="1">
      <c r="A10" s="47" t="s">
        <v>107</v>
      </c>
      <c r="B10" s="48"/>
      <c r="C10" s="48"/>
      <c r="D10" s="48"/>
      <c r="E10" s="49"/>
      <c r="F10" s="40">
        <f t="shared" si="1"/>
        <v>0</v>
      </c>
      <c r="G10" s="41">
        <f t="shared" si="2"/>
        <v>0</v>
      </c>
      <c r="H10" s="17" t="s">
        <v>23</v>
      </c>
    </row>
    <row r="11">
      <c r="A11" s="7" t="s">
        <v>111</v>
      </c>
      <c r="B11" s="8" t="s">
        <v>112</v>
      </c>
      <c r="C11" s="37">
        <v>0.4</v>
      </c>
      <c r="D11" s="38">
        <v>3.0</v>
      </c>
      <c r="E11" s="39">
        <v>800.0</v>
      </c>
      <c r="F11" s="40">
        <f t="shared" si="1"/>
        <v>1.2</v>
      </c>
      <c r="G11" s="41">
        <f t="shared" si="2"/>
        <v>320</v>
      </c>
      <c r="H11" s="17" t="s">
        <v>34</v>
      </c>
    </row>
    <row r="12">
      <c r="A12" s="50" t="s">
        <v>125</v>
      </c>
      <c r="E12" s="51"/>
      <c r="F12" s="52">
        <f t="shared" ref="F12:G12" si="3">SUM(F3:F11)</f>
        <v>25.2</v>
      </c>
      <c r="G12" s="53">
        <f t="shared" si="3"/>
        <v>8270</v>
      </c>
      <c r="H12" s="5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0:E1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45.0"/>
    <col customWidth="1" min="4" max="4" width="18.0"/>
    <col customWidth="1" min="5" max="5" width="20.0"/>
    <col customWidth="1" min="6" max="6" width="14.0"/>
  </cols>
  <sheetData>
    <row r="1" ht="34.5" customHeight="1">
      <c r="A1" s="19" t="s">
        <v>126</v>
      </c>
      <c r="B1" s="2"/>
      <c r="C1" s="2"/>
      <c r="D1" s="2"/>
      <c r="E1" s="2"/>
      <c r="F1" s="3"/>
    </row>
    <row r="2" ht="30.0" customHeight="1">
      <c r="A2" s="5" t="s">
        <v>2</v>
      </c>
      <c r="B2" s="5" t="s">
        <v>72</v>
      </c>
      <c r="C2" s="5" t="s">
        <v>127</v>
      </c>
      <c r="D2" s="5" t="s">
        <v>128</v>
      </c>
      <c r="E2" s="5" t="s">
        <v>75</v>
      </c>
      <c r="F2" s="5" t="s">
        <v>129</v>
      </c>
    </row>
    <row r="3" ht="34.5" customHeight="1">
      <c r="A3" s="7" t="s">
        <v>14</v>
      </c>
      <c r="B3" s="8" t="s">
        <v>130</v>
      </c>
      <c r="C3" s="8" t="s">
        <v>131</v>
      </c>
      <c r="D3" s="7" t="s">
        <v>132</v>
      </c>
      <c r="E3" s="8" t="s">
        <v>81</v>
      </c>
      <c r="F3" s="36" t="s">
        <v>133</v>
      </c>
    </row>
    <row r="4" ht="34.5" customHeight="1">
      <c r="A4" s="12" t="s">
        <v>20</v>
      </c>
      <c r="B4" s="13" t="s">
        <v>122</v>
      </c>
      <c r="C4" s="13" t="s">
        <v>134</v>
      </c>
      <c r="D4" s="12" t="s">
        <v>135</v>
      </c>
      <c r="E4" s="13" t="s">
        <v>81</v>
      </c>
      <c r="F4" s="36" t="s">
        <v>133</v>
      </c>
    </row>
    <row r="5" ht="34.5" customHeight="1">
      <c r="A5" s="7" t="s">
        <v>24</v>
      </c>
      <c r="B5" s="8" t="s">
        <v>136</v>
      </c>
      <c r="C5" s="8" t="s">
        <v>137</v>
      </c>
      <c r="D5" s="7" t="s">
        <v>138</v>
      </c>
      <c r="E5" s="8" t="s">
        <v>89</v>
      </c>
      <c r="F5" s="36" t="s">
        <v>133</v>
      </c>
    </row>
    <row r="6" ht="34.5" customHeight="1">
      <c r="A6" s="12" t="s">
        <v>28</v>
      </c>
      <c r="B6" s="13" t="s">
        <v>139</v>
      </c>
      <c r="C6" s="13" t="s">
        <v>140</v>
      </c>
      <c r="D6" s="12" t="s">
        <v>141</v>
      </c>
      <c r="E6" s="13" t="s">
        <v>93</v>
      </c>
      <c r="F6" s="36" t="s">
        <v>133</v>
      </c>
    </row>
    <row r="7" ht="34.5" customHeight="1">
      <c r="A7" s="7" t="s">
        <v>31</v>
      </c>
      <c r="B7" s="8" t="s">
        <v>142</v>
      </c>
      <c r="C7" s="8" t="s">
        <v>143</v>
      </c>
      <c r="D7" s="7" t="s">
        <v>141</v>
      </c>
      <c r="E7" s="8" t="s">
        <v>97</v>
      </c>
      <c r="F7" s="36" t="s">
        <v>133</v>
      </c>
    </row>
    <row r="8" ht="34.5" customHeight="1">
      <c r="A8" s="12" t="s">
        <v>35</v>
      </c>
      <c r="B8" s="13" t="s">
        <v>144</v>
      </c>
      <c r="C8" s="13" t="s">
        <v>145</v>
      </c>
      <c r="D8" s="12" t="s">
        <v>146</v>
      </c>
      <c r="E8" s="13" t="s">
        <v>147</v>
      </c>
      <c r="F8" s="36" t="s">
        <v>133</v>
      </c>
    </row>
    <row r="9" ht="34.5" customHeight="1">
      <c r="A9" s="7" t="s">
        <v>39</v>
      </c>
      <c r="B9" s="8" t="s">
        <v>148</v>
      </c>
      <c r="C9" s="8" t="s">
        <v>149</v>
      </c>
      <c r="D9" s="7" t="s">
        <v>150</v>
      </c>
      <c r="E9" s="8" t="s">
        <v>151</v>
      </c>
      <c r="F9" s="36" t="s">
        <v>133</v>
      </c>
    </row>
    <row r="11" ht="45.0" customHeight="1">
      <c r="A11" s="47" t="s">
        <v>107</v>
      </c>
      <c r="B11" s="48"/>
      <c r="C11" s="48"/>
      <c r="D11" s="48"/>
      <c r="E11" s="48"/>
      <c r="F11" s="49"/>
    </row>
    <row r="12">
      <c r="A12" s="7" t="s">
        <v>111</v>
      </c>
      <c r="B12" s="8" t="s">
        <v>152</v>
      </c>
      <c r="C12" s="8" t="s">
        <v>153</v>
      </c>
      <c r="D12" s="7" t="s">
        <v>154</v>
      </c>
      <c r="E12" s="8" t="s">
        <v>93</v>
      </c>
      <c r="F12" s="36" t="s">
        <v>133</v>
      </c>
    </row>
    <row r="13">
      <c r="A13" s="55" t="s">
        <v>155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1:F1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2026-03-18T17:33:07Z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